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Orçamento Projeto Gênesis RPG V" sheetId="2" r:id="rId6"/>
  </sheets>
  <definedNames/>
  <calcPr/>
</workbook>
</file>

<file path=xl/sharedStrings.xml><?xml version="1.0" encoding="utf-8"?>
<sst xmlns="http://schemas.openxmlformats.org/spreadsheetml/2006/main" count="30" uniqueCount="29">
  <si>
    <t>Orçamento Projeto Gênesis RPG</t>
  </si>
  <si>
    <t>Função</t>
  </si>
  <si>
    <t>Horas totais</t>
  </si>
  <si>
    <t>Custo por hora (€)</t>
  </si>
  <si>
    <t>Subtotal (€)</t>
  </si>
  <si>
    <t>Programador Backend</t>
  </si>
  <si>
    <t>Programador Front-end</t>
  </si>
  <si>
    <t>TOTAL RECURSOS HUMANOS</t>
  </si>
  <si>
    <t>Recurso</t>
  </si>
  <si>
    <t>Ferramenta</t>
  </si>
  <si>
    <t>Quantidade</t>
  </si>
  <si>
    <t>Custo unitário (€)</t>
  </si>
  <si>
    <t xml:space="preserve">Domínio (12 meses) </t>
  </si>
  <si>
    <t>.com</t>
  </si>
  <si>
    <t>Alojamento (1 mês)</t>
  </si>
  <si>
    <t>Vercel</t>
  </si>
  <si>
    <t>BaaS (1 mês)</t>
  </si>
  <si>
    <t>Supabase</t>
  </si>
  <si>
    <t>TOTAL RECURSOS MATERIAIS</t>
  </si>
  <si>
    <t>Descrição</t>
  </si>
  <si>
    <t>Valor (€)</t>
  </si>
  <si>
    <t>Total Recursos Humanos</t>
  </si>
  <si>
    <t>Total Recursos Materiais</t>
  </si>
  <si>
    <t>Subtotal (RH + MAT)</t>
  </si>
  <si>
    <t>Margem de segurança (10%)</t>
  </si>
  <si>
    <t>TOTAL FINAL</t>
  </si>
  <si>
    <t>IVA(23%)</t>
  </si>
  <si>
    <t>Total final com IVA</t>
  </si>
  <si>
    <t>VALOR FINAL ARREDONDADO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</si>
</sst>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5" pivot="0" name="Orçamento Projeto Gênesis RPG V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Orçamento Projeto Gênesis RPG V-style 2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Orçamento Projeto Gênesis RPG V-style 3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5:D8" displayName="Recursos_Humanos" name="Recursos_Humanos" id="1">
  <tableColumns count="4">
    <tableColumn totalsRowLabel="TOTAL RECURSOS HUMANOS" name="Função" id="1"/>
    <tableColumn name="Horas totais" id="2"/>
    <tableColumn name="Custo por hora (€)" id="3"/>
    <tableColumn totalsRowFunction="custom" name="Subtotal (€)" id="4"/>
  </tableColumns>
  <tableStyleInfo name="Orçamento Projeto Gênesis RPG V-style" showColumnStripes="0" showFirstColumn="1" showLastColumn="1" showRowStripes="1"/>
</table>
</file>

<file path=xl/tables/table2.xml><?xml version="1.0" encoding="utf-8"?>
<table xmlns="http://schemas.openxmlformats.org/spreadsheetml/2006/main" totalsRowCount="1" ref="A13:E17" displayName="Recursos_Materiais" name="Recursos_Materiais" id="2">
  <tableColumns count="5">
    <tableColumn totalsRowLabel="TOTAL RECURSOS MATERIAIS" name="Recurso" id="1"/>
    <tableColumn name="Ferramenta" id="2"/>
    <tableColumn name="Quantidade" id="3"/>
    <tableColumn name="Custo unitário (€)" id="4"/>
    <tableColumn totalsRowFunction="custom" name="Subtotal (€)" id="5"/>
  </tableColumns>
  <tableStyleInfo name="Orçamento Projeto Gênesis RPG V-style 2" showColumnStripes="0" showFirstColumn="1" showLastColumn="1" showRowStripes="1"/>
</table>
</file>

<file path=xl/tables/table3.xml><?xml version="1.0" encoding="utf-8"?>
<table xmlns="http://schemas.openxmlformats.org/spreadsheetml/2006/main" ref="A21:B29" displayName="Recursos_Financeiros" name="Recursos_Financeiros" id="3">
  <tableColumns count="2">
    <tableColumn name="Descrição" id="1"/>
    <tableColumn name="Valor (€)" id="2"/>
  </tableColumns>
  <tableStyleInfo name="Orçamento Projeto Gênesis RPG V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6.38"/>
    <col customWidth="1" min="3" max="3" width="17.0"/>
    <col customWidth="1" min="4" max="4" width="16.38"/>
    <col customWidth="1" min="5" max="5" width="17.0"/>
    <col customWidth="1" min="6" max="6" width="13.88"/>
    <col customWidth="1" min="7" max="7" width="18.88"/>
    <col customWidth="1" min="8" max="9" width="18.25"/>
    <col customWidth="1" min="10" max="10" width="1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4.38"/>
    <col customWidth="1" min="3" max="3" width="18.88"/>
    <col customWidth="1" min="4" max="4" width="17.5"/>
    <col customWidth="1" min="5" max="5" width="13.75"/>
  </cols>
  <sheetData>
    <row r="1">
      <c r="A1" s="2" t="s">
        <v>0</v>
      </c>
    </row>
    <row r="3">
      <c r="A3" s="2"/>
    </row>
    <row r="4">
      <c r="A4" s="2"/>
      <c r="B4" s="2"/>
      <c r="C4" s="2"/>
      <c r="D4" s="2"/>
    </row>
    <row r="5" ht="22.5" customHeight="1">
      <c r="A5" s="3" t="s">
        <v>1</v>
      </c>
      <c r="B5" s="3" t="s">
        <v>2</v>
      </c>
      <c r="C5" s="3" t="s">
        <v>3</v>
      </c>
      <c r="D5" s="3" t="s">
        <v>4</v>
      </c>
    </row>
    <row r="6" ht="22.5" customHeight="1">
      <c r="A6" s="4" t="s">
        <v>5</v>
      </c>
      <c r="B6" s="4">
        <v>160.0</v>
      </c>
      <c r="C6" s="4">
        <v>10.0</v>
      </c>
      <c r="D6" s="5">
        <f t="shared" ref="D6:D7" si="1">B6*C6</f>
        <v>1600</v>
      </c>
    </row>
    <row r="7" ht="22.5" customHeight="1">
      <c r="A7" s="4" t="s">
        <v>6</v>
      </c>
      <c r="B7" s="4">
        <v>160.0</v>
      </c>
      <c r="C7" s="4">
        <v>10.0</v>
      </c>
      <c r="D7" s="5">
        <f t="shared" si="1"/>
        <v>1600</v>
      </c>
    </row>
    <row r="8" ht="22.5" customHeight="1">
      <c r="A8" s="4" t="s">
        <v>7</v>
      </c>
      <c r="D8" s="5">
        <f>SUM(D6:D7)</f>
        <v>3200</v>
      </c>
    </row>
    <row r="11">
      <c r="A11" s="2"/>
    </row>
    <row r="12">
      <c r="A12" s="2"/>
      <c r="B12" s="2"/>
      <c r="C12" s="2"/>
      <c r="D12" s="2"/>
    </row>
    <row r="13" ht="22.5" customHeight="1">
      <c r="A13" s="3" t="s">
        <v>8</v>
      </c>
      <c r="B13" s="6" t="s">
        <v>9</v>
      </c>
      <c r="C13" s="3" t="s">
        <v>10</v>
      </c>
      <c r="D13" s="3" t="s">
        <v>11</v>
      </c>
      <c r="E13" s="3" t="s">
        <v>4</v>
      </c>
    </row>
    <row r="14" ht="22.5" customHeight="1">
      <c r="A14" s="4" t="s">
        <v>12</v>
      </c>
      <c r="B14" s="7" t="s">
        <v>13</v>
      </c>
      <c r="C14" s="4">
        <v>1.0</v>
      </c>
      <c r="D14" s="4">
        <v>23.0</v>
      </c>
      <c r="E14" s="5">
        <f t="shared" ref="E14:E16" si="2">C14*D14</f>
        <v>23</v>
      </c>
    </row>
    <row r="15" ht="22.5" customHeight="1">
      <c r="A15" s="4" t="s">
        <v>14</v>
      </c>
      <c r="B15" s="4" t="s">
        <v>15</v>
      </c>
      <c r="C15" s="4">
        <v>12.0</v>
      </c>
      <c r="D15" s="4">
        <v>20.0</v>
      </c>
      <c r="E15" s="5">
        <f t="shared" si="2"/>
        <v>240</v>
      </c>
    </row>
    <row r="16" ht="22.5" customHeight="1">
      <c r="A16" s="4" t="s">
        <v>16</v>
      </c>
      <c r="B16" s="4" t="s">
        <v>17</v>
      </c>
      <c r="C16" s="4">
        <v>12.0</v>
      </c>
      <c r="D16" s="4">
        <v>25.0</v>
      </c>
      <c r="E16" s="5">
        <f t="shared" si="2"/>
        <v>300</v>
      </c>
    </row>
    <row r="17" ht="22.5" customHeight="1">
      <c r="A17" s="4" t="s">
        <v>18</v>
      </c>
      <c r="B17" s="4"/>
      <c r="E17" s="5">
        <f>SUM(E14:E16)</f>
        <v>563</v>
      </c>
    </row>
    <row r="20">
      <c r="A20" s="2"/>
    </row>
    <row r="21" ht="22.5" customHeight="1">
      <c r="A21" s="3" t="s">
        <v>19</v>
      </c>
      <c r="B21" s="3" t="s">
        <v>20</v>
      </c>
    </row>
    <row r="22" ht="22.5" customHeight="1">
      <c r="A22" s="4" t="s">
        <v>21</v>
      </c>
      <c r="B22" s="5">
        <f>D8</f>
        <v>3200</v>
      </c>
    </row>
    <row r="23" ht="22.5" customHeight="1">
      <c r="A23" s="4" t="s">
        <v>22</v>
      </c>
      <c r="B23" s="5">
        <f>E17</f>
        <v>563</v>
      </c>
    </row>
    <row r="24" ht="22.5" customHeight="1">
      <c r="A24" s="4" t="s">
        <v>23</v>
      </c>
      <c r="B24" s="5">
        <f>B22+B23</f>
        <v>3763</v>
      </c>
    </row>
    <row r="25" ht="22.5" customHeight="1">
      <c r="A25" s="4" t="s">
        <v>24</v>
      </c>
      <c r="B25" s="5">
        <f>B24*0.1</f>
        <v>376.3</v>
      </c>
    </row>
    <row r="26" ht="22.5" customHeight="1">
      <c r="A26" s="4" t="s">
        <v>25</v>
      </c>
      <c r="B26" s="5">
        <f>B24+B25</f>
        <v>4139.3</v>
      </c>
    </row>
    <row r="27" ht="22.5" customHeight="1">
      <c r="A27" s="4" t="s">
        <v>26</v>
      </c>
      <c r="B27" s="5">
        <f>B26*0.23</f>
        <v>952.039</v>
      </c>
    </row>
    <row r="28" ht="22.5" customHeight="1">
      <c r="A28" s="4" t="s">
        <v>27</v>
      </c>
      <c r="B28" s="5">
        <f>B26+B27</f>
        <v>5091.339</v>
      </c>
    </row>
    <row r="29" ht="22.5" customHeight="1">
      <c r="A29" s="4" t="s">
        <v>28</v>
      </c>
      <c r="B29" s="5">
        <f>ROUND(B28,0)</f>
        <v>5091</v>
      </c>
    </row>
  </sheetData>
  <dataValidations>
    <dataValidation allowBlank="1" showDropDown="1" sqref="B14:B16"/>
  </dataValidations>
  <drawing r:id="rId1"/>
  <tableParts count="3">
    <tablePart r:id="rId5"/>
    <tablePart r:id="rId6"/>
    <tablePart r:id="rId7"/>
  </tableParts>
</worksheet>
</file>